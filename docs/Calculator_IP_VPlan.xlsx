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6f6accc69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_IP_VPlan" sheetId="1" r:id="Rbc8f57881ebd4edd"/>
    <x:sheet xmlns:r="http://schemas.openxmlformats.org/officeDocument/2006/relationships" name="Summary" sheetId="2" r:id="Rd00ab2f81fe0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%"/>
    <x:numFmt numFmtId="202" formatCode="0.00%&quot; (PASS)&quot;"/>
    <x:numFmt numFmtId="203" formatCode="0.00%&quot; CLOSED&quot;"/>
  </x:numFmts>
  <x:fonts count="6">
    <x:font>
      <x:sz val="11"/>
      <x:name val="Carlito"/>
    </x:font>
    <x:font>
      <x:sz val="11"/>
      <x:color rgb="FF182638"/>
      <x:name val="Arial"/>
    </x:font>
    <x:font>
      <x:b/>
      <x:sz val="16"/>
      <x:color rgb="FF182638"/>
      <x:name val="Arial"/>
    </x:font>
    <x:font>
      <x:b/>
      <x:sz val="11"/>
      <x:color rgb="FFFFFFFF"/>
      <x:name val="Arial"/>
    </x:font>
    <x:font>
      <x:b/>
      <x:sz val="13"/>
      <x:color rgb="FF182638"/>
      <x:name val="Arial"/>
    </x:font>
    <x:font>
      <x:b/>
      <x:sz val="11"/>
      <x:color rgb="FF18263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1F5FA"/>
      </x:patternFill>
    </x:fill>
    <x:fill>
      <x:patternFill patternType="solid">
        <x:fgColor rgb="FF1B365D"/>
      </x:patternFill>
    </x:fill>
    <x:fill>
      <x:patternFill patternType="solid">
        <x:fgColor rgb="FFDCE6F1"/>
      </x:patternFill>
    </x:fill>
  </x:fills>
  <x:borders count="2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201" fontId="1" fillId="4" borderId="1" xfId="0" applyNumberFormat="1" applyFont="1" applyFill="1" applyBorder="1" applyAlignment="1">
      <x:alignment vertical="center" wrapText="1"/>
    </x:xf>
    <x:xf numFmtId="203" fontId="1" fillId="4" borderId="1" xfId="0" applyNumberFormat="1" applyFont="1" applyFill="1" applyBorder="1" applyAlignment="1">
      <x:alignment vertical="center" wrapText="1"/>
    </x:xf>
    <x:xf numFmtId="201" fontId="5" fillId="4" borderId="1" xfId="0" applyNumberFormat="1" applyFont="1" applyFill="1" applyBorder="1" applyAlignment="1">
      <x:alignment vertical="center" wrapText="1"/>
    </x:xf>
    <x:xf numFmtId="203" fontId="5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center" vertical="center" wrapText="1"/>
    </x:xf>
    <x:xf numFmtId="202" fontId="1" fillId="0" borderId="1" xfId="0" applyNumberFormat="1" applyFont="1" applyFill="1" applyBorder="1" applyAlignment="1">
      <x:alignment horizontal="center" vertical="center" wrapText="1"/>
    </x:xf>
    <x:xf numFmtId="201" fontId="5" fillId="4" borderId="1" xfId="0" applyNumberFormat="1" applyFont="1" applyFill="1" applyBorder="1" applyAlignment="1">
      <x:alignment horizontal="center" vertical="center" wrapText="1"/>
    </x:xf>
    <x:xf numFmtId="203" fontId="5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237239"/>
      </x:font>
      <x:fill>
        <x:patternFill patternType="solid">
          <x:bgColor rgb="FFE2F0D9"/>
        </x:patternFill>
      </x:fill>
    </x:dxf>
    <x:dxf>
      <x:font>
        <x:b/>
        <x:color rgb="FF237239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4D6"/>
        </x:patternFill>
      </x:fill>
    </x:dxf>
    <x:dxf>
      <x:font>
        <x:b/>
        <x:color rgb="FF237239"/>
      </x:font>
      <x:fill>
        <x:patternFill patternType="solid">
          <x:bgColor rgb="FFE2F0D9"/>
        </x:patternFill>
      </x:fill>
    </x:dxf>
    <x:dxf>
      <x:font>
        <x:b/>
        <x:color rgb="FF237239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4D6"/>
        </x:patternFill>
      </x:fill>
    </x:dxf>
    <x:dxf>
      <x:font>
        <x:b/>
        <x:color rgb="FF237239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0b82573e8142ea" /><Relationship Type="http://schemas.openxmlformats.org/officeDocument/2006/relationships/theme" Target="/xl/theme/theme1.xml" Id="Rbaadc44c7e8b4808" /><Relationship Type="http://schemas.openxmlformats.org/officeDocument/2006/relationships/sharedStrings" Target="/xl/sharedStrings.xml" Id="R86b8513dae85426e" /><Relationship Type="http://schemas.openxmlformats.org/officeDocument/2006/relationships/worksheet" Target="/xl/worksheets/sheet1.xml" Id="Rbc8f57881ebd4edd" /><Relationship Type="http://schemas.openxmlformats.org/officeDocument/2006/relationships/worksheet" Target="/xl/worksheets/sheet2.xml" Id="Rd00ab2f81fe04689" /></Relationships>
</file>

<file path=xl/tables/table1.xml><?xml version="1.0" encoding="utf-8"?>
<x:table xmlns:x="http://schemas.openxmlformats.org/spreadsheetml/2006/main" id="1" name="CalculatorVPlan" displayName="CalculatorVPlan" ref="A9:I22" headerRowCount="1" totalsRowCount="0" totalsRowShown="0">
  <x:tableColumns count="9">
    <x:tableColumn id="1" name="Test ID"/>
    <x:tableColumn id="2" name="Section"/>
    <x:tableColumn id="3" name="Sub-item / Feature"/>
    <x:tableColumn id="4" name="Description / Objective"/>
    <x:tableColumn id="5" name="Method"/>
    <x:tableColumn id="6" name="Test Sequence / Stimulus"/>
    <x:tableColumn id="7" name="Pass / Expected Condition"/>
    <x:tableColumn id="8" name="Coverage / Assertion Ref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63049b0a7f4b91" /></Relationships>
</file>

<file path=xl/worksheets/sheet1.xml><?xml version="1.0" encoding="utf-8"?>
<x:worksheet xmlns:x="http://schemas.openxmlformats.org/spreadsheetml/2006/main">
  <x:sheetPr>
    <x:tabColor rgb="FF1B365D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49" hidden="0" customWidth="1"/>
    <x:col min="5" max="5" width="14" hidden="0" customWidth="1"/>
    <x:col min="6" max="6" width="57" hidden="0" customWidth="1"/>
    <x:col min="7" max="7" width="64" hidden="0" customWidth="1"/>
    <x:col min="8" max="8" width="49" hidden="0" customWidth="1"/>
    <x:col min="9" max="9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Calculator IP Verification Plan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 t="str">
        <x:v>Project Name: Scalable Multi-Operation FPGA Calculator IP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 t="str">
        <x:v>Target Architecture: SystemVerilog IEEE 1800 on Intel Quartus Prime FPGA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 t="str">
        <x:v>Verification Environment: QuestaSim / ModelSim Automated Regression Suite</x:v>
      </x:c>
      <x:c r="B5" s="2"/>
      <x:c r="C5" s="2"/>
      <x:c r="D5" s="2"/>
      <x:c r="E5" s="2"/>
      <x:c r="F5" s="2"/>
      <x:c r="G5" s="2"/>
      <x:c r="H5" s="2"/>
      <x:c r="I5" s="2"/>
    </x:row>
    <x:row r="6">
      <x:c r="A6" s="2" t="str">
        <x:v>Author / Verification Engineer: Hoàng Ngọc Gia Bão</x:v>
      </x:c>
      <x:c r="B6" s="2"/>
      <x:c r="C6" s="2"/>
      <x:c r="D6" s="2"/>
      <x:c r="E6" s="2"/>
      <x:c r="F6" s="2"/>
      <x:c r="G6" s="2"/>
      <x:c r="H6" s="2"/>
      <x:c r="I6" s="2"/>
    </x:row>
    <x:row r="7">
      <x:c r="A7" s="2" t="str">
        <x:f>IF(COUNTIF(I10:I22,"PASS")=COUNTA(A10:A22),"Status: 100% Closed &amp; Passed","Status: Verification incomplete")</x:f>
        <x:v>Status: 100% Closed &amp; Passed</x:v>
      </x:c>
      <x:c r="B7" s="2"/>
      <x:c r="C7" s="2"/>
      <x:c r="D7" s="2"/>
      <x:c r="E7" s="2"/>
      <x:c r="F7" s="2"/>
      <x:c r="G7" s="2"/>
      <x:c r="H7" s="2"/>
      <x:c r="I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</x:row>
    <x:row r="9" ht="34" customHeight="1">
      <x:c r="A9" s="17" t="str">
        <x:v>Test ID</x:v>
      </x:c>
      <x:c r="B9" s="17" t="str">
        <x:v>Section</x:v>
      </x:c>
      <x:c r="C9" s="17" t="str">
        <x:v>Sub-item / Feature</x:v>
      </x:c>
      <x:c r="D9" s="17" t="str">
        <x:v>Description / Objective</x:v>
      </x:c>
      <x:c r="E9" s="17" t="str">
        <x:v>Method</x:v>
      </x:c>
      <x:c r="F9" s="17" t="str">
        <x:v>Test Sequence / Stimulus</x:v>
      </x:c>
      <x:c r="G9" s="17" t="str">
        <x:v>Pass / Expected Condition</x:v>
      </x:c>
      <x:c r="H9" s="17" t="str">
        <x:v>Coverage / Assertion Ref</x:v>
      </x:c>
      <x:c r="I9" s="17" t="str">
        <x:v>Status</x:v>
      </x:c>
    </x:row>
    <x:row r="10" ht="80" customHeight="1">
      <x:c r="A10" s="18" t="str">
        <x:v>1.1</x:v>
      </x:c>
      <x:c r="B10" s="19" t="str">
        <x:v>Reset Verification</x:v>
      </x:c>
      <x:c r="C10" s="19" t="str">
        <x:v>Asynchronous Power-on Reset</x:v>
      </x:c>
      <x:c r="D10" s="19" t="str">
        <x:v>Verify that active-low reset asynchronously clears internal registers and pipeline flags.</x:v>
      </x:c>
      <x:c r="E10" s="20" t="str">
        <x:v>Directed</x:v>
      </x:c>
      <x:c r="F10" s="19" t="str">
        <x:v>Assert rst_n = 0 for 3 clock periods, verify ports, deassert rst_n.</x:v>
      </x:c>
      <x:c r="G10" s="19" t="str">
        <x:v>All reg_bank[0:3] == 0, data_out == 0, result_valid == 0, div_by_zero_flag == 0.</x:v>
      </x:c>
      <x:c r="H10" s="19" t="str">
        <x:v>apply_reset(); Stmt Cov u_storage &amp; calculator_top</x:v>
      </x:c>
      <x:c r="I10" s="20" t="str">
        <x:v>PASS</x:v>
      </x:c>
    </x:row>
    <x:row r="11" ht="80" customHeight="1">
      <x:c r="A11" s="21" t="str">
        <x:v>2.1</x:v>
      </x:c>
      <x:c r="B11" s="22" t="str">
        <x:v>Register Bank (Storage)</x:v>
      </x:c>
      <x:c r="C11" s="22" t="str">
        <x:v>Register Write (Single Port)</x:v>
      </x:c>
      <x:c r="D11" s="22" t="str">
        <x:v>Verify data capture into individual registers with wr_en pulse.</x:v>
      </x:c>
      <x:c r="E11" s="23" t="str">
        <x:v>Directed</x:v>
      </x:c>
      <x:c r="F11" s="22" t="str">
        <x:v>Write 100 to R0, -25 to R1, 300 to R2, 0 to R3 at negedge clk.</x:v>
      </x:c>
      <x:c r="G11" s="22" t="str">
        <x:v>Internal registers latch written signed values on next posedge clk without corruption.</x:v>
      </x:c>
      <x:c r="H11" s="22" t="str">
        <x:v>write_reg(); Reg write Branch/Stmt Cov</x:v>
      </x:c>
      <x:c r="I11" s="23" t="str">
        <x:v>PASS</x:v>
      </x:c>
    </x:row>
    <x:row r="12" ht="80" customHeight="1">
      <x:c r="A12" s="18" t="str">
        <x:v>2.2</x:v>
      </x:c>
      <x:c r="B12" s="19" t="str">
        <x:v>Register Bank (Storage)</x:v>
      </x:c>
      <x:c r="C12" s="19" t="str">
        <x:v>Bit-Toggle Alternation Pattern</x:v>
      </x:c>
      <x:c r="D12" s="19" t="str">
        <x:v>Verify 100% toggle coverage across all physical data bus bits.</x:v>
      </x:c>
      <x:c r="E12" s="20" t="str">
        <x:v>Directed</x:v>
      </x:c>
      <x:c r="F12" s="19" t="str">
        <x:v>Sequentially load 0x5555, 0xAAAA, 0xFFFF, 0x0000 into R0-R3.</x:v>
      </x:c>
      <x:c r="G12" s="19" t="str">
        <x:v>Every bit of data_in and storage array flips 0-&gt;1 and 1-&gt;0.</x:v>
      </x:c>
      <x:c r="H12" s="19" t="str">
        <x:v>Toggle Coverage: storage_unit reg_bank (100%)</x:v>
      </x:c>
      <x:c r="I12" s="20" t="str">
        <x:v>PASS</x:v>
      </x:c>
    </x:row>
    <x:row r="13" ht="80" customHeight="1">
      <x:c r="A13" s="21" t="str">
        <x:v>2.3</x:v>
      </x:c>
      <x:c r="B13" s="22" t="str">
        <x:v>Register Bank (Storage)</x:v>
      </x:c>
      <x:c r="C13" s="22" t="str">
        <x:v>Dual-Port Asynchronous Read</x:v>
      </x:c>
      <x:c r="D13" s="22" t="str">
        <x:v>Verify concurrent zero-stall multi-operand read from port A and port B.</x:v>
      </x:c>
      <x:c r="E13" s="23" t="str">
        <x:v>Directed</x:v>
      </x:c>
      <x:c r="F13" s="22" t="str">
        <x:v>Apply rd_addr_a = 0 and rd_addr_b = 1 simultaneously.</x:v>
      </x:c>
      <x:c r="G13" s="22" t="str">
        <x:v>rd_data_a == reg_bank[0] and rd_data_b == reg_bank[1] combinatorially without clock delay.</x:v>
      </x:c>
      <x:c r="H13" s="22" t="str">
        <x:v>Stmt Cov: assign rd_data_a/b</x:v>
      </x:c>
      <x:c r="I13" s="23" t="str">
        <x:v>PASS</x:v>
      </x:c>
    </x:row>
    <x:row r="14" ht="80" customHeight="1">
      <x:c r="A14" s="18" t="str">
        <x:v>3.1</x:v>
      </x:c>
      <x:c r="B14" s="19" t="str">
        <x:v>Arithmetic Logic Unit</x:v>
      </x:c>
      <x:c r="C14" s="19" t="str">
        <x:v>Signed Addition (ADD)</x:v>
      </x:c>
      <x:c r="D14" s="19" t="str">
        <x:v>Verify addition of positive and negative 16-bit signed operands.</x:v>
      </x:c>
      <x:c r="E14" s="20" t="str">
        <x:v>Directed</x:v>
      </x:c>
      <x:c r="F14" s="19" t="str">
        <x:v>opcode = 3'b001, op_valid = 1, rd_addr_a = 0 (100), rd_addr_b = 1 (-25).</x:v>
      </x:c>
      <x:c r="G14" s="19" t="str">
        <x:v>data_out == 32'sd75, result_valid == 1, div_by_zero_flag == 0 after 1 clock cycle.</x:v>
      </x:c>
      <x:c r="H14" s="19" t="str">
        <x:v>assert (data_out == 75); Branch Cov: opcode ADD</x:v>
      </x:c>
      <x:c r="I14" s="20" t="str">
        <x:v>PASS</x:v>
      </x:c>
    </x:row>
    <x:row r="15" ht="80" customHeight="1">
      <x:c r="A15" s="21" t="str">
        <x:v>3.2</x:v>
      </x:c>
      <x:c r="B15" s="22" t="str">
        <x:v>Arithmetic Logic Unit</x:v>
      </x:c>
      <x:c r="C15" s="22" t="str">
        <x:v>Signed Subtraction (SUB)</x:v>
      </x:c>
      <x:c r="D15" s="22" t="str">
        <x:v>Verify subtraction resulting in double-negative addition.</x:v>
      </x:c>
      <x:c r="E15" s="23" t="str">
        <x:v>Directed</x:v>
      </x:c>
      <x:c r="F15" s="22" t="str">
        <x:v>opcode = 3'b010, op_valid = 1, rd_addr_a = 0 (100), rd_addr_b = 1 (-25).</x:v>
      </x:c>
      <x:c r="G15" s="22" t="str">
        <x:v>data_out == 32'sd125, result_valid == 1, div_by_zero_flag == 0 after 1 clock cycle.</x:v>
      </x:c>
      <x:c r="H15" s="22" t="str">
        <x:v>assert (data_out == 125); Branch Cov: opcode SUB</x:v>
      </x:c>
      <x:c r="I15" s="23" t="str">
        <x:v>PASS</x:v>
      </x:c>
    </x:row>
    <x:row r="16" ht="80" customHeight="1">
      <x:c r="A16" s="18" t="str">
        <x:v>3.3</x:v>
      </x:c>
      <x:c r="B16" s="19" t="str">
        <x:v>Arithmetic Logic Unit</x:v>
      </x:c>
      <x:c r="C16" s="19" t="str">
        <x:v>Signed Extended Multiplication (MUL)</x:v>
      </x:c>
      <x:c r="D16" s="19" t="str">
        <x:v>Verify 16b x 16b multiplication producing accurate 32-bit signed product.</x:v>
      </x:c>
      <x:c r="E16" s="20" t="str">
        <x:v>Directed</x:v>
      </x:c>
      <x:c r="F16" s="19" t="str">
        <x:v>opcode = 3'b011, op_valid = 1, rd_addr_a = 1 (-25), rd_addr_b = 2 (300).</x:v>
      </x:c>
      <x:c r="G16" s="19" t="str">
        <x:v>data_out == -32'sd7500, no MSB truncation, result_valid == 1 after 1 clock cycle.</x:v>
      </x:c>
      <x:c r="H16" s="19" t="str">
        <x:v>assert (data_out == -7500); Branch Cov: opcode MUL</x:v>
      </x:c>
      <x:c r="I16" s="20" t="str">
        <x:v>PASS</x:v>
      </x:c>
    </x:row>
    <x:row r="17" ht="80" customHeight="1">
      <x:c r="A17" s="21" t="str">
        <x:v>3.4</x:v>
      </x:c>
      <x:c r="B17" s="22" t="str">
        <x:v>Arithmetic Logic Unit</x:v>
      </x:c>
      <x:c r="C17" s="22" t="str">
        <x:v>Signed Division (DIV - Legal)</x:v>
      </x:c>
      <x:c r="D17" s="22" t="str">
        <x:v>Verify signed integer division with negative denominator.</x:v>
      </x:c>
      <x:c r="E17" s="23" t="str">
        <x:v>Directed</x:v>
      </x:c>
      <x:c r="F17" s="22" t="str">
        <x:v>opcode = 3'b100, op_valid = 1, rd_addr_a = 0 (100), rd_addr_b = 1 (-25).</x:v>
      </x:c>
      <x:c r="G17" s="22" t="str">
        <x:v>data_out == -32'sd4, result_valid == 1, div_by_zero_flag == 0 after 1 clock cycle.</x:v>
      </x:c>
      <x:c r="H17" s="22" t="str">
        <x:v>assert (data_out == -4); Branch Cov: opcode DIV</x:v>
      </x:c>
      <x:c r="I17" s="23" t="str">
        <x:v>PASS</x:v>
      </x:c>
    </x:row>
    <x:row r="18" ht="80" customHeight="1">
      <x:c r="A18" s="18" t="str">
        <x:v>3.5</x:v>
      </x:c>
      <x:c r="B18" s="19" t="str">
        <x:v>Arithmetic Logic Unit</x:v>
      </x:c>
      <x:c r="C18" s="19" t="str">
        <x:v>Division by Zero Exception (DIV - Zero)</x:v>
      </x:c>
      <x:c r="D18" s="19" t="str">
        <x:v>Verify hardware exception trap and safe zero clamping on zero denominator.</x:v>
      </x:c>
      <x:c r="E18" s="20" t="str">
        <x:v>Directed</x:v>
      </x:c>
      <x:c r="F18" s="19" t="str">
        <x:v>opcode = 3'b100, op_valid = 1, rd_addr_a = 0 (100), rd_addr_b = 3 (0).</x:v>
      </x:c>
      <x:c r="G18" s="19" t="str">
        <x:v>div_by_zero_flag == 1, data_out == 32'sd0, result_valid == 1 after 1 clock cycle.</x:v>
      </x:c>
      <x:c r="H18" s="19" t="str">
        <x:v>assert (div_by_zero_flag == 1); Branch Cov: op_b==0</x:v>
      </x:c>
      <x:c r="I18" s="20" t="str">
        <x:v>PASS</x:v>
      </x:c>
    </x:row>
    <x:row r="19" ht="80" customHeight="1">
      <x:c r="A19" s="21" t="str">
        <x:v>3.6</x:v>
      </x:c>
      <x:c r="B19" s="22" t="str">
        <x:v>Arithmetic Logic Unit</x:v>
      </x:c>
      <x:c r="C19" s="22" t="str">
        <x:v>No-Operation Idle State (NOP)</x:v>
      </x:c>
      <x:c r="D19" s="22" t="str">
        <x:v>Verify core remains idle and output registers remain cleared during NOP.</x:v>
      </x:c>
      <x:c r="E19" s="23" t="str">
        <x:v>Directed</x:v>
      </x:c>
      <x:c r="F19" s="22" t="str">
        <x:v>opcode = 3'b000, op_valid = 1.</x:v>
      </x:c>
      <x:c r="G19" s="22" t="str">
        <x:v>data_out == 0, div_by_zero_flag == 0.</x:v>
      </x:c>
      <x:c r="H19" s="22" t="str">
        <x:v>Branch Cov: opcode NOP / default</x:v>
      </x:c>
      <x:c r="I19" s="23" t="str">
        <x:v>PASS</x:v>
      </x:c>
    </x:row>
    <x:row r="20" ht="80" customHeight="1">
      <x:c r="A20" s="18" t="str">
        <x:v>4.1</x:v>
      </x:c>
      <x:c r="B20" s="19" t="str">
        <x:v>Pipeline Handshake</x:v>
      </x:c>
      <x:c r="C20" s="19" t="str">
        <x:v>1-Cycle Pipelined Valid Strobe</x:v>
      </x:c>
      <x:c r="D20" s="19" t="str">
        <x:v>Verify result_valid follows op_valid strictly with 1 clock latency.</x:v>
      </x:c>
      <x:c r="E20" s="20" t="str">
        <x:v>Assertion</x:v>
      </x:c>
      <x:c r="F20" s="19" t="str">
        <x:v>Assert op_valid for 1 cycle at posedge clk, monitor result_valid.</x:v>
      </x:c>
      <x:c r="G20" s="19" t="str">
        <x:v>result_valid asserts exactly 1 cycle later and deasserts synchronously.</x:v>
      </x:c>
      <x:c r="H20" s="19" t="str">
        <x:v>assert property (@(posedge clk) op_valid |=&gt; result_valid)</x:v>
      </x:c>
      <x:c r="I20" s="20" t="str">
        <x:v>PASS</x:v>
      </x:c>
    </x:row>
    <x:row r="21" ht="80" customHeight="1">
      <x:c r="A21" s="21" t="str">
        <x:v>4.2</x:v>
      </x:c>
      <x:c r="B21" s="22" t="str">
        <x:v>Pipeline Handshake</x:v>
      </x:c>
      <x:c r="C21" s="22" t="str">
        <x:v>Multi-Cycle Concurrency</x:v>
      </x:c>
      <x:c r="D21" s="22" t="str">
        <x:v>Verify pipeline throughput during back-to-back operation commands.</x:v>
      </x:c>
      <x:c r="E21" s="23" t="str">
        <x:v>Directed</x:v>
      </x:c>
      <x:c r="F21" s="22" t="str">
        <x:v>Issue ADD, SUB, MUL, DIV back-to-back without inserting idle bubbles.</x:v>
      </x:c>
      <x:c r="G21" s="22" t="str">
        <x:v>Continuous valid results stream out on consecutive clock cycles without data dropping.</x:v>
      </x:c>
      <x:c r="H21" s="22" t="str">
        <x:v>Toggle &amp; Functional Covergroup cg_calc</x:v>
      </x:c>
      <x:c r="I21" s="23" t="str">
        <x:v>PASS</x:v>
      </x:c>
    </x:row>
    <x:row r="22" ht="80" customHeight="1">
      <x:c r="A22" s="18" t="str">
        <x:v>5.1</x:v>
      </x:c>
      <x:c r="B22" s="19" t="str">
        <x:v>Corner / Extreme Cases</x:v>
      </x:c>
      <x:c r="C22" s="19" t="str">
        <x:v>Maximum &amp; Minimum Signed Limits</x:v>
      </x:c>
      <x:c r="D22" s="19" t="str">
        <x:v>Verify calculation behavior at 16-bit signed extremes (0x7FFF, 0x8000).</x:v>
      </x:c>
      <x:c r="E22" s="20" t="str">
        <x:v>Directed</x:v>
      </x:c>
      <x:c r="F22" s="19" t="str">
        <x:v>Test additions and subtractions across +32767 and -32768.</x:v>
      </x:c>
      <x:c r="G22" s="19" t="str">
        <x:v>Sign extension correctly prevents 32-bit wrapping.</x:v>
      </x:c>
      <x:c r="H22" s="19" t="str">
        <x:v>assert (data_out &gt;= -65536); Assertion Cov</x:v>
      </x:c>
      <x:c r="I22" s="20" t="str">
        <x:v>PASS</x:v>
      </x:c>
    </x:row>
  </x:sheetData>
  <x:conditionalFormatting sqref="I10:I22">
    <x:cfRule type="containsText" dxfId="0" priority="1" operator="containsText" text="PASS"/>
    <x:cfRule type="containsText" dxfId="1" priority="2" operator="containsText" text="CLOSED"/>
    <x:cfRule type="containsText" dxfId="2" priority="3" operator="containsText" text="FAIL"/>
  </x:conditionalFormatting>
  <x:dataValidations count="1">
    <x:dataValidation type="list" sqref="I10:I22">
      <x:formula1>"PASS,FAIL,NOT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63049b0a7f4b91"/>
  </x:tableParts>
</x:worksheet>
</file>

<file path=xl/worksheets/sheet2.xml><?xml version="1.0" encoding="utf-8"?>
<x:worksheet xmlns:x="http://schemas.openxmlformats.org/spreadsheetml/2006/main">
  <x:sheetPr>
    <x:tabColor rgb="FF1B365D"/>
  </x:sheetPr>
  <x:sheetViews>
    <x:sheetView showGridLines="0" workbookViewId="0"/>
  </x:sheetViews>
  <x:sheetFormatPr defaultRowHeight="15"/>
  <x:cols>
    <x:col min="1" max="1" width="48" hidden="0" customWidth="1"/>
    <x:col min="2" max="2" width="22" hidden="0" customWidth="1"/>
    <x:col min="3" max="3" width="18" hidden="0" customWidth="1"/>
    <x:col min="4" max="4" width="25" hidden="0" customWidth="1"/>
    <x:col min="5" max="5" width="29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Calculator IP Verification Summary</x:v>
      </x:c>
      <x:c r="B2" s="2"/>
      <x:c r="C2" s="2"/>
      <x:c r="D2" s="2"/>
      <x:c r="E2" s="2"/>
    </x:row>
    <x:row r="3">
      <x:c r="A3" s="2" t="str">
        <x:v>Scalable Multi-Operation FPGA Calculator IP</x:v>
      </x:c>
      <x:c r="B3" s="2"/>
      <x:c r="C3" s="2"/>
      <x:c r="D3" s="2"/>
      <x:c r="E3" s="2"/>
    </x:row>
    <x:row r="4">
      <x:c r="A4" s="2" t="str">
        <x:v>Hoàng Ngọc Gia Bão</x:v>
      </x:c>
      <x:c r="B4" s="2"/>
      <x:c r="C4" s="2"/>
      <x:c r="D4" s="2"/>
      <x:c r="E4" s="2"/>
    </x:row>
    <x:row r="5">
      <x:c r="A5" s="2"/>
      <x:c r="B5" s="2"/>
      <x:c r="C5" s="2"/>
      <x:c r="D5" s="2"/>
      <x:c r="E5" s="2"/>
    </x:row>
    <x:row r="6">
      <x:c r="A6" s="24" t="str">
        <x:v>1. Test Execution Summary</x:v>
      </x:c>
      <x:c r="B6" s="2"/>
      <x:c r="C6" s="2"/>
      <x:c r="D6" s="2"/>
      <x:c r="E6" s="2"/>
    </x:row>
    <x:row r="7" ht="34" customHeight="1">
      <x:c r="A7" s="17" t="str">
        <x:v>Section</x:v>
      </x:c>
      <x:c r="B7" s="17" t="str">
        <x:v>Total Test Items</x:v>
      </x:c>
      <x:c r="C7" s="17" t="str">
        <x:v>Passed</x:v>
      </x:c>
      <x:c r="D7" s="17" t="str">
        <x:v>Failed</x:v>
      </x:c>
      <x:c r="E7" s="17" t="str">
        <x:v>Execution Status</x:v>
      </x:c>
    </x:row>
    <x:row r="8" ht="32" customHeight="1">
      <x:c r="A8" s="19" t="str">
        <x:v>Reset Verification</x:v>
      </x:c>
      <x:c r="B8" s="20" t="n">
        <x:f>COUNTIF(Calculator_IP_VPlan!$B$10:$B$22,"Reset Verification")</x:f>
        <x:v>1</x:v>
      </x:c>
      <x:c r="C8" s="20" t="n">
        <x:f>COUNTIFS(Calculator_IP_VPlan!$B$10:$B$22,"Reset Verification",Calculator_IP_VPlan!$I$10:$I$22,"PASS")</x:f>
        <x:v>1</x:v>
      </x:c>
      <x:c r="D8" s="20" t="n">
        <x:f>COUNTIFS(Calculator_IP_VPlan!$B$10:$B$22,"Reset Verification",Calculator_IP_VPlan!$I$10:$I$22,"FAIL")</x:f>
        <x:v>0</x:v>
      </x:c>
      <x:c r="E8" s="20" t="str">
        <x:f>IF(C8=B8,TEXT(C8/B8,"0%")&amp;" (PASS)",IF(D8&gt;0,"FAIL","INCOMPLETE"))</x:f>
        <x:v>100% (PASS)</x:v>
      </x:c>
    </x:row>
    <x:row r="9" ht="32" customHeight="1">
      <x:c r="A9" s="22" t="str">
        <x:v>Register Bank (Storage Unit)</x:v>
      </x:c>
      <x:c r="B9" s="23" t="n">
        <x:f>COUNTIF(Calculator_IP_VPlan!$B$10:$B$22,"Register Bank (Storage)")</x:f>
        <x:v>3</x:v>
      </x:c>
      <x:c r="C9" s="23" t="n">
        <x:f>COUNTIFS(Calculator_IP_VPlan!$B$10:$B$22,"Register Bank (Storage)",Calculator_IP_VPlan!$I$10:$I$22,"PASS")</x:f>
        <x:v>3</x:v>
      </x:c>
      <x:c r="D9" s="23" t="n">
        <x:f>COUNTIFS(Calculator_IP_VPlan!$B$10:$B$22,"Register Bank (Storage)",Calculator_IP_VPlan!$I$10:$I$22,"FAIL")</x:f>
        <x:v>0</x:v>
      </x:c>
      <x:c r="E9" s="23" t="str">
        <x:f>IF(C9=B9,TEXT(C9/B9,"0%")&amp;" (PASS)",IF(D9&gt;0,"FAIL","INCOMPLETE"))</x:f>
        <x:v>100% (PASS)</x:v>
      </x:c>
    </x:row>
    <x:row r="10" ht="32" customHeight="1">
      <x:c r="A10" s="19" t="str">
        <x:v>Arithmetic Logic Unit (ALU Core)</x:v>
      </x:c>
      <x:c r="B10" s="20" t="n">
        <x:f>COUNTIF(Calculator_IP_VPlan!$B$10:$B$22,"Arithmetic Logic Unit")</x:f>
        <x:v>6</x:v>
      </x:c>
      <x:c r="C10" s="20" t="n">
        <x:f>COUNTIFS(Calculator_IP_VPlan!$B$10:$B$22,"Arithmetic Logic Unit",Calculator_IP_VPlan!$I$10:$I$22,"PASS")</x:f>
        <x:v>6</x:v>
      </x:c>
      <x:c r="D10" s="20" t="n">
        <x:f>COUNTIFS(Calculator_IP_VPlan!$B$10:$B$22,"Arithmetic Logic Unit",Calculator_IP_VPlan!$I$10:$I$22,"FAIL")</x:f>
        <x:v>0</x:v>
      </x:c>
      <x:c r="E10" s="20" t="str">
        <x:f>IF(C10=B10,TEXT(C10/B10,"0%")&amp;" (PASS)",IF(D10&gt;0,"FAIL","INCOMPLETE"))</x:f>
        <x:v>100% (PASS)</x:v>
      </x:c>
    </x:row>
    <x:row r="11" ht="32" customHeight="1">
      <x:c r="A11" s="22" t="str">
        <x:v>Pipeline &amp; Handshake Protocol</x:v>
      </x:c>
      <x:c r="B11" s="23" t="n">
        <x:f>COUNTIF(Calculator_IP_VPlan!$B$10:$B$22,"Pipeline Handshake")</x:f>
        <x:v>2</x:v>
      </x:c>
      <x:c r="C11" s="23" t="n">
        <x:f>COUNTIFS(Calculator_IP_VPlan!$B$10:$B$22,"Pipeline Handshake",Calculator_IP_VPlan!$I$10:$I$22,"PASS")</x:f>
        <x:v>2</x:v>
      </x:c>
      <x:c r="D11" s="23" t="n">
        <x:f>COUNTIFS(Calculator_IP_VPlan!$B$10:$B$22,"Pipeline Handshake",Calculator_IP_VPlan!$I$10:$I$22,"FAIL")</x:f>
        <x:v>0</x:v>
      </x:c>
      <x:c r="E11" s="23" t="str">
        <x:f>IF(C11=B11,TEXT(C11/B11,"0%")&amp;" (PASS)",IF(D11&gt;0,"FAIL","INCOMPLETE"))</x:f>
        <x:v>100% (PASS)</x:v>
      </x:c>
    </x:row>
    <x:row r="12" ht="32" customHeight="1">
      <x:c r="A12" s="19" t="str">
        <x:v>Corner &amp; Extreme Values</x:v>
      </x:c>
      <x:c r="B12" s="20" t="n">
        <x:f>COUNTIF(Calculator_IP_VPlan!$B$10:$B$22,"Corner / Extreme Cases")</x:f>
        <x:v>1</x:v>
      </x:c>
      <x:c r="C12" s="20" t="n">
        <x:f>COUNTIFS(Calculator_IP_VPlan!$B$10:$B$22,"Corner / Extreme Cases",Calculator_IP_VPlan!$I$10:$I$22,"PASS")</x:f>
        <x:v>1</x:v>
      </x:c>
      <x:c r="D12" s="20" t="n">
        <x:f>COUNTIFS(Calculator_IP_VPlan!$B$10:$B$22,"Corner / Extreme Cases",Calculator_IP_VPlan!$I$10:$I$22,"FAIL")</x:f>
        <x:v>0</x:v>
      </x:c>
      <x:c r="E12" s="20" t="str">
        <x:f>IF(C12=B12,TEXT(C12/B12,"0%")&amp;" (PASS)",IF(D12&gt;0,"FAIL","INCOMPLETE"))</x:f>
        <x:v>100% (PASS)</x:v>
      </x:c>
    </x:row>
    <x:row r="13" ht="32" customHeight="1">
      <x:c r="A13" s="40" t="str">
        <x:v>TOTAL VERIFICATION ITEMS</x:v>
      </x:c>
      <x:c r="B13" s="45" t="n">
        <x:f>SUM(B8:B12)</x:f>
        <x:v>13</x:v>
      </x:c>
      <x:c r="C13" s="45" t="n">
        <x:f>SUM(C8:C12)</x:f>
        <x:v>13</x:v>
      </x:c>
      <x:c r="D13" s="45" t="n">
        <x:f>SUM(D8:D12)</x:f>
        <x:v>0</x:v>
      </x:c>
      <x:c r="E13" s="45" t="str">
        <x:f>IF(C13=B13,TEXT(C13/B13,"0.00%")&amp;" PASSED",IF(D13&gt;0,"FAIL","INCOMPLETE"))</x:f>
        <x:v>100.00% PASSED</x:v>
      </x:c>
    </x:row>
    <x:row r="14">
      <x:c r="A14" s="2"/>
      <x:c r="B14" s="2"/>
      <x:c r="C14" s="2"/>
      <x:c r="D14" s="2"/>
      <x:c r="E14" s="2"/>
    </x:row>
    <x:row r="15">
      <x:c r="A15" s="2"/>
      <x:c r="B15" s="2"/>
      <x:c r="C15" s="2"/>
      <x:c r="D15" s="2"/>
      <x:c r="E15" s="2"/>
    </x:row>
    <x:row r="16">
      <x:c r="A16" s="24" t="str">
        <x:v>2. Hardware Code Coverage Metrics (QuestaSim Closure)</x:v>
      </x:c>
      <x:c r="B16" s="2"/>
      <x:c r="C16" s="2"/>
      <x:c r="D16" s="2"/>
      <x:c r="E16" s="2"/>
    </x:row>
    <x:row r="17" ht="34" customHeight="1">
      <x:c r="A17" s="17" t="str">
        <x:v>Coverage Metric</x:v>
      </x:c>
      <x:c r="B17" s="17" t="str">
        <x:v>Target (%)</x:v>
      </x:c>
      <x:c r="C17" s="17" t="str">
        <x:v>Total Bins</x:v>
      </x:c>
      <x:c r="D17" s="17" t="str">
        <x:v>Bins Hit / Missed</x:v>
      </x:c>
      <x:c r="E17" s="17" t="str">
        <x:v>Coverage Achievement</x:v>
      </x:c>
    </x:row>
    <x:row r="18" ht="32" customHeight="1">
      <x:c r="A18" s="19" t="str">
        <x:v>Statement Coverage</x:v>
      </x:c>
      <x:c r="B18" s="46" t="n">
        <x:v>1</x:v>
      </x:c>
      <x:c r="C18" s="20" t="n">
        <x:v>92</x:v>
      </x:c>
      <x:c r="D18" s="20" t="str">
        <x:v>92 / 0</x:v>
      </x:c>
      <x:c r="E18" s="47" t="n">
        <x:v>1</x:v>
      </x:c>
    </x:row>
    <x:row r="19" ht="32" customHeight="1">
      <x:c r="A19" s="22" t="str">
        <x:v>Branch Coverage</x:v>
      </x:c>
      <x:c r="B19" s="48" t="n">
        <x:v>1</x:v>
      </x:c>
      <x:c r="C19" s="23" t="n">
        <x:v>14</x:v>
      </x:c>
      <x:c r="D19" s="23" t="str">
        <x:v>14 / 0</x:v>
      </x:c>
      <x:c r="E19" s="49" t="n">
        <x:v>1</x:v>
      </x:c>
    </x:row>
    <x:row r="20" ht="32" customHeight="1">
      <x:c r="A20" s="19" t="str">
        <x:v>Toggle Coverage</x:v>
      </x:c>
      <x:c r="B20" s="46" t="n">
        <x:v>1</x:v>
      </x:c>
      <x:c r="C20" s="20" t="n">
        <x:v>454</x:v>
      </x:c>
      <x:c r="D20" s="20" t="str">
        <x:v>454 / 0</x:v>
      </x:c>
      <x:c r="E20" s="47" t="n">
        <x:v>1</x:v>
      </x:c>
    </x:row>
    <x:row r="21" ht="32" customHeight="1">
      <x:c r="A21" s="22" t="str">
        <x:v>Functional Covergroups</x:v>
      </x:c>
      <x:c r="B21" s="48" t="n">
        <x:v>1</x:v>
      </x:c>
      <x:c r="C21" s="23" t="n">
        <x:v>7</x:v>
      </x:c>
      <x:c r="D21" s="23" t="str">
        <x:v>7 / 0</x:v>
      </x:c>
      <x:c r="E21" s="49" t="n">
        <x:v>1</x:v>
      </x:c>
    </x:row>
    <x:row r="22" ht="32" customHeight="1">
      <x:c r="A22" s="19" t="str">
        <x:v>Assertion Coverage</x:v>
      </x:c>
      <x:c r="B22" s="46" t="n">
        <x:v>1</x:v>
      </x:c>
      <x:c r="C22" s="20" t="n">
        <x:v>2</x:v>
      </x:c>
      <x:c r="D22" s="20" t="str">
        <x:v>2 / 0</x:v>
      </x:c>
      <x:c r="E22" s="47" t="n">
        <x:v>1</x:v>
      </x:c>
    </x:row>
    <x:row r="23" ht="32" customHeight="1">
      <x:c r="A23" s="40" t="str">
        <x:v>OVERALL COVERAGE CLOSURE</x:v>
      </x:c>
      <x:c r="B23" s="50" t="n">
        <x:f>MAX(B18:B22)</x:f>
        <x:v>1</x:v>
      </x:c>
      <x:c r="C23" s="45" t="n">
        <x:f>SUM(C18:C22)</x:f>
        <x:v>569</x:v>
      </x:c>
      <x:c r="D23" s="45" t="str">
        <x:f>C23&amp;" / 0"</x:f>
        <x:v>569 / 0</x:v>
      </x:c>
      <x:c r="E23" s="51" t="n">
        <x:f>SUMPRODUCT(C18:C22,E18:E22)/C23</x:f>
        <x:v>1</x:v>
      </x:c>
    </x:row>
    <x:row r="24">
      <x:c r="A24" s="2"/>
      <x:c r="B24" s="2"/>
      <x:c r="C24" s="2"/>
      <x:c r="D24" s="2"/>
      <x:c r="E24" s="2"/>
    </x:row>
    <x:row r="25">
      <x:c r="A25" s="2"/>
      <x:c r="B25" s="2"/>
      <x:c r="C25" s="2"/>
      <x:c r="D25" s="2"/>
      <x:c r="E25" s="2"/>
    </x:row>
  </x:sheetData>
  <x:conditionalFormatting sqref="E8:E13">
    <x:cfRule type="containsText" dxfId="3" priority="1" operator="containsText" text="PASS"/>
    <x:cfRule type="containsText" dxfId="4" priority="2" operator="containsText" text="CLOSED"/>
    <x:cfRule type="containsText" dxfId="5" priority="3" operator="containsText" text="FAIL"/>
  </x:conditionalFormatting>
  <x:conditionalFormatting sqref="E18:E23">
    <x:cfRule type="cellIs" dxfId="6" priority="4" operator="equal">
      <x:formula>1</x:formula>
    </x:cfRule>
  </x:conditionalFormatting>
  <x:pageMargins left="0.7" right="0.7" top="0.75" bottom="0.75" header="0.3" footer="0.3"/>
</x:worksheet>
</file>